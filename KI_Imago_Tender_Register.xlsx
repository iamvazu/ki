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der Register" sheetId="1" state="visible" r:id="rId3"/>
    <sheet name="Dashboard" sheetId="2" state="visible" r:id="rId4"/>
    <sheet name="Bid Tracker" sheetId="3" state="visible" r:id="rId5"/>
    <sheet name="Competitor Intel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<sst xmlns="http://schemas.openxmlformats.org/spreadsheetml/2006/main" count="221" uniqueCount="157">
  <si>
    <t xml:space="preserve">KI IMAGO — TENDER REGISTER</t>
  </si>
  <si>
    <t xml:space="preserve">Krueger International Furniture Systems Pvt. Ltd. · Bommasandra-Jigni, Bengaluru · GST: 29AAECK0473E1ZN</t>
  </si>
  <si>
    <t xml:space="preserve">#</t>
  </si>
  <si>
    <t xml:space="preserve">Tender ID</t>
  </si>
  <si>
    <t xml:space="preserve">Portal</t>
  </si>
  <si>
    <t xml:space="preserve">Institution</t>
  </si>
  <si>
    <t xml:space="preserve">Tender Title</t>
  </si>
  <si>
    <t xml:space="preserve">Category</t>
  </si>
  <si>
    <t xml:space="preserve">Est. Value (₹)</t>
  </si>
  <si>
    <t xml:space="preserve">Published</t>
  </si>
  <si>
    <t xml:space="preserve">Closing Date</t>
  </si>
  <si>
    <t xml:space="preserve">Days Left
(update daily)</t>
  </si>
  <si>
    <t xml:space="preserve">EMD (₹)</t>
  </si>
  <si>
    <t xml:space="preserve">Qualification</t>
  </si>
  <si>
    <t xml:space="preserve">Priority</t>
  </si>
  <si>
    <t xml:space="preserve">Status</t>
  </si>
  <si>
    <t xml:space="preserve">Escalated To</t>
  </si>
  <si>
    <t xml:space="preserve">Escalation Time</t>
  </si>
  <si>
    <t xml:space="preserve">Bid Submitted</t>
  </si>
  <si>
    <t xml:space="preserve">Outcome</t>
  </si>
  <si>
    <t xml:space="preserve">Notes / Intel</t>
  </si>
  <si>
    <t xml:space="preserve">GEM/2025/EDU/001234</t>
  </si>
  <si>
    <t xml:space="preserve">GeM</t>
  </si>
  <si>
    <t xml:space="preserve">University Visvesvaraya College of Engineering</t>
  </si>
  <si>
    <t xml:space="preserve">Supply of Student Chairs &amp; Classroom Desks</t>
  </si>
  <si>
    <t xml:space="preserve">Classroom</t>
  </si>
  <si>
    <t xml:space="preserve">01-04-2025</t>
  </si>
  <si>
    <t xml:space="preserve">22-04-2025</t>
  </si>
  <si>
    <t xml:space="preserve">PASS</t>
  </si>
  <si>
    <t xml:space="preserve">P2 — High (₹10-50L)</t>
  </si>
  <si>
    <t xml:space="preserve">Bid Prep</t>
  </si>
  <si>
    <t xml:space="preserve">CEO Agent</t>
  </si>
  <si>
    <t xml:space="preserve">02-04-2025 09:15</t>
  </si>
  <si>
    <t xml:space="preserve">UVCE govt college - GeM mandatory. Spec matches Maestro Chair MSP. HOD CSE already met.</t>
  </si>
  <si>
    <t xml:space="preserve">KPPP/BEDU/2025/4521</t>
  </si>
  <si>
    <t xml:space="preserve">KPPP</t>
  </si>
  <si>
    <t xml:space="preserve">Bangalore Institute of Technology</t>
  </si>
  <si>
    <t xml:space="preserve">Procurement of Library Reading Room Furniture</t>
  </si>
  <si>
    <t xml:space="preserve">Library</t>
  </si>
  <si>
    <t xml:space="preserve">28-03-2025</t>
  </si>
  <si>
    <t xml:space="preserve">18-04-2025</t>
  </si>
  <si>
    <t xml:space="preserve">P3 — Medium (₹2-10L)</t>
  </si>
  <si>
    <t xml:space="preserve">Submitted</t>
  </si>
  <si>
    <t xml:space="preserve">29-03-2025 14:30</t>
  </si>
  <si>
    <t xml:space="preserve">05-04-2025</t>
  </si>
  <si>
    <t xml:space="preserve">Pending</t>
  </si>
  <si>
    <t xml:space="preserve">BIT library renovation. 40 reading chairs + 12 tables. Submitted Unite Round Table + Strive Chair.</t>
  </si>
  <si>
    <t xml:space="preserve">IISC/PROC/2025/089</t>
  </si>
  <si>
    <t xml:space="preserve">Institution Website</t>
  </si>
  <si>
    <t xml:space="preserve">Indian Institute of Science</t>
  </si>
  <si>
    <t xml:space="preserve">Supply of Office Workstations — Faculty Offices</t>
  </si>
  <si>
    <t xml:space="preserve">Office</t>
  </si>
  <si>
    <t xml:space="preserve">15-03-2025</t>
  </si>
  <si>
    <t xml:space="preserve">10-04-2025</t>
  </si>
  <si>
    <t xml:space="preserve">P1 — Critical (&gt;₹50L)</t>
  </si>
  <si>
    <t xml:space="preserve">Won</t>
  </si>
  <si>
    <t xml:space="preserve">15-03-2025 11:00</t>
  </si>
  <si>
    <t xml:space="preserve">25-03-2025</t>
  </si>
  <si>
    <t xml:space="preserve">IISc strategic win. WYN 5 workstations x 40 units. Use as reference installation.</t>
  </si>
  <si>
    <t xml:space="preserve">GEM/2025/EDU/002891</t>
  </si>
  <si>
    <t xml:space="preserve">Dr. Ambedkar Institute of Technology</t>
  </si>
  <si>
    <t xml:space="preserve">Supply of Cafeteria Furniture — New Block</t>
  </si>
  <si>
    <t xml:space="preserve">Cafeteria</t>
  </si>
  <si>
    <t xml:space="preserve">25-04-2025</t>
  </si>
  <si>
    <t xml:space="preserve">New</t>
  </si>
  <si>
    <t xml:space="preserve">10-04-2025 08:45</t>
  </si>
  <si>
    <t xml:space="preserve">New cafeteria block opening May. Barron SS tables + Dura Stack chairs. 15 tables, 60 chairs.</t>
  </si>
  <si>
    <t xml:space="preserve">KPPP/BEDU/2025/5102</t>
  </si>
  <si>
    <t xml:space="preserve">Bangalore Medical College &amp; Research Institute</t>
  </si>
  <si>
    <t xml:space="preserve">Procurement of Waiting Area &amp; Seminar Chairs</t>
  </si>
  <si>
    <t xml:space="preserve">Seminar</t>
  </si>
  <si>
    <t xml:space="preserve">20-04-2025</t>
  </si>
  <si>
    <t xml:space="preserve">REVIEW</t>
  </si>
  <si>
    <t xml:space="preserve">P4 — Low (&lt;₹2L)</t>
  </si>
  <si>
    <t xml:space="preserve">Skipped</t>
  </si>
  <si>
    <t xml:space="preserve">Not escalated</t>
  </si>
  <si>
    <t xml:space="preserve">Value below threshold. Spec requires specific hospital-grade chairs not in KI range. Skip.</t>
  </si>
  <si>
    <t xml:space="preserve">CHRIST/PROC/APR25/12</t>
  </si>
  <si>
    <t xml:space="preserve">Christ University</t>
  </si>
  <si>
    <t xml:space="preserve">Library Furniture — New Kengeri Campus Wing</t>
  </si>
  <si>
    <t xml:space="preserve">08-04-2025</t>
  </si>
  <si>
    <t xml:space="preserve">05-05-2025</t>
  </si>
  <si>
    <t xml:space="preserve">08-04-2025 10:20</t>
  </si>
  <si>
    <t xml:space="preserve">Christ private institution - no GeM. VP Operations contact: already in outreach pipeline. 27 days to close.</t>
  </si>
  <si>
    <t xml:space="preserve">TENDER PIPELINE DASHBOARD — KI IMAGO</t>
  </si>
  <si>
    <t xml:space="preserve">Total Tenders</t>
  </si>
  <si>
    <t xml:space="preserve">Active Bids</t>
  </si>
  <si>
    <t xml:space="preserve">Pipeline Value</t>
  </si>
  <si>
    <t xml:space="preserve">Closing ≤7 days</t>
  </si>
  <si>
    <t xml:space="preserve">Win Rate</t>
  </si>
  <si>
    <t xml:space="preserve">STATUS BREAKDOWN</t>
  </si>
  <si>
    <t xml:space="preserve">PRIORITY BREAKDOWN</t>
  </si>
  <si>
    <t xml:space="preserve">P1 — Critical</t>
  </si>
  <si>
    <t xml:space="preserve">P2 — High</t>
  </si>
  <si>
    <t xml:space="preserve">P3 — Medium</t>
  </si>
  <si>
    <t xml:space="preserve">P4 — Low</t>
  </si>
  <si>
    <t xml:space="preserve">Lost</t>
  </si>
  <si>
    <t xml:space="preserve">Expired</t>
  </si>
  <si>
    <t xml:space="preserve">BID PREPARATION TRACKER</t>
  </si>
  <si>
    <t xml:space="preserve">Track checklist completion for each active bid — update daily during bid prep</t>
  </si>
  <si>
    <t xml:space="preserve">1. BoQ Read</t>
  </si>
  <si>
    <t xml:space="preserve">2. Tech Compliance</t>
  </si>
  <si>
    <t xml:space="preserve">3. Financials Ready</t>
  </si>
  <si>
    <t xml:space="preserve">4. Exp. Certs</t>
  </si>
  <si>
    <t xml:space="preserve">5. MII Declaration</t>
  </si>
  <si>
    <t xml:space="preserve">6. Pricing Done</t>
  </si>
  <si>
    <t xml:space="preserve">7. EMD Arranged</t>
  </si>
  <si>
    <t xml:space="preserve">8. Docs Uploaded</t>
  </si>
  <si>
    <t xml:space="preserve">% Complete</t>
  </si>
  <si>
    <t xml:space="preserve">Responsible / Notes</t>
  </si>
  <si>
    <t xml:space="preserve">UVCE — Student Chairs &amp; Desks</t>
  </si>
  <si>
    <t xml:space="preserve">✅ Done</t>
  </si>
  <si>
    <t xml:space="preserve">⏳ In Progress</t>
  </si>
  <si>
    <t xml:space="preserve">❌ Pending</t>
  </si>
  <si>
    <t xml:space="preserve">Christ University — Library</t>
  </si>
  <si>
    <t xml:space="preserve">COMPETITOR INTELLIGENCE — POST-BID ANALYSIS</t>
  </si>
  <si>
    <t xml:space="preserve">Log competitor data from GeM bid results — builds pricing and positioning intelligence over time</t>
  </si>
  <si>
    <t xml:space="preserve">Competitor Name</t>
  </si>
  <si>
    <t xml:space="preserve">Their Price (₹)</t>
  </si>
  <si>
    <t xml:space="preserve">Our Price (₹)</t>
  </si>
  <si>
    <t xml:space="preserve">Price Gap</t>
  </si>
  <si>
    <t xml:space="preserve">Their Advantage</t>
  </si>
  <si>
    <t xml:space="preserve">Our Advantage</t>
  </si>
  <si>
    <t xml:space="preserve">Learning / Action</t>
  </si>
  <si>
    <t xml:space="preserve">BIT — Library</t>
  </si>
  <si>
    <t xml:space="preserve">Local Trader X</t>
  </si>
  <si>
    <t xml:space="preserve">Lost — Price</t>
  </si>
  <si>
    <t xml:space="preserve">Lower price, unknown brand</t>
  </si>
  <si>
    <t xml:space="preserve">Local manufacture, 5-yr warranty</t>
  </si>
  <si>
    <t xml:space="preserve">Next time: lead with warranty cost benefit + IS cert. Their quality likely inferior — get reference from BIT.</t>
  </si>
  <si>
    <t xml:space="preserve">UVCE — Chairs</t>
  </si>
  <si>
    <t xml:space="preserve">National Furniture Co.</t>
  </si>
  <si>
    <t xml:space="preserve">GeM-listed, volume pricing</t>
  </si>
  <si>
    <t xml:space="preserve">Faster delivery, Bangalore factory</t>
  </si>
  <si>
    <t xml:space="preserve">MSME status check — if they qualify for GeM MSME preference and we don't, address urgently.</t>
  </si>
  <si>
    <t xml:space="preserve">HOW TO USE THIS WORKBOOK — SCOUT AGENT GUIDE</t>
  </si>
  <si>
    <t xml:space="preserve">SHEET 1 — TENDER REGISTER</t>
  </si>
  <si>
    <t xml:space="preserve">→</t>
  </si>
  <si>
    <t xml:space="preserve">Add one row per tender discovered. Fill all columns using the dropdown menus (click a cell to see options). The 'Days Left' column auto-calculates from today — tenders turning red need immediate action.</t>
  </si>
  <si>
    <t xml:space="preserve">Portal: use the dropdown — GeM / KPPP / CPPP / Institution Website / Other</t>
  </si>
  <si>
    <t xml:space="preserve">Category: select the primary space — Classroom / Library / Cafeteria / Lab / Seminar / Office / Hostel / Mixed</t>
  </si>
  <si>
    <t xml:space="preserve">Qualification: PASS = all 6 criteria met. FAIL = do not proceed. REVIEW = escalate to CEO Agent for decision.</t>
  </si>
  <si>
    <t xml:space="preserve">Priority: P1 (&gt;₹50L) escalate in 6 hrs · P2 (₹10-50L) escalate in 24 hrs · P3 (₹2-10L) in 48 hrs · P4 batch weekly</t>
  </si>
  <si>
    <t xml:space="preserve">Status flow: New → Bid Prep → Submitted → Won / Lost / Skipped</t>
  </si>
  <si>
    <t xml:space="preserve">SHEET 2 — DASHBOARD</t>
  </si>
  <si>
    <t xml:space="preserve">Auto-updates from Tender Register. Check this at the start of each day for the live pipeline view. 'Closing ≤7 days' is your most critical metric — any non-zero number here means urgent action needed.</t>
  </si>
  <si>
    <t xml:space="preserve">SHEET 3 — BID TRACKER</t>
  </si>
  <si>
    <t xml:space="preserve">Use this for tenders in 'Bid Prep' status. One row per active bid. Tick off each of the 8 checklist items as they're completed. % Complete auto-calculates. A bid should never be submitted with any item still ❌ Pending.</t>
  </si>
  <si>
    <t xml:space="preserve">The 8 bid checklist items: (1) BoQ read and understood · (2) Technical compliance statement drafted · (3) Financial documents ready (GST, PAN, audited P&amp;L) · (4) Experience certificates collected · (5) Make in India declaration prepared · (6) Pricing finalised and BoQ filled · (7) EMD demand draft/BG arranged · (8) All documents uploaded to portal</t>
  </si>
  <si>
    <t xml:space="preserve">SHEET 4 — COMPETITOR INTEL</t>
  </si>
  <si>
    <t xml:space="preserve">After each tender result (win or loss), log the competitors who bid and their prices (visible on GeM after closing). Over 3-6 months this builds a pricing intelligence database. Review before pricing any new bid in the same category.</t>
  </si>
  <si>
    <t xml:space="preserve">KEY RULES</t>
  </si>
  <si>
    <t xml:space="preserve">Never submit a bid with fewer than 5 working days remaining without CEO Agent approval.</t>
  </si>
  <si>
    <t xml:space="preserve">Never bid on a tender where the qualification is FAIL. Flag and skip.</t>
  </si>
  <si>
    <t xml:space="preserve">Always download and read the full tender document — not just the title. Corrigenda (amendments) can change everything.</t>
  </si>
  <si>
    <t xml:space="preserve">Update status within 24 hours of any change — the Dashboard is only as good as the data it reads.</t>
  </si>
  <si>
    <t xml:space="preserve">After every bid result, update Sheet 4 with competitor data — this is compulsory, not optional.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</si>
</sst>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"/>
    <numFmt numFmtId="167" formatCode="General"/>
    <numFmt numFmtId="168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F1114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0F1114"/>
      <name val="Arial"/>
      <family val="0"/>
      <charset val="1"/>
    </font>
    <font>
      <b val="true"/>
      <sz val="9"/>
      <color rgb="FF1A6B5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22"/>
      <color rgb="FF0F11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11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6B5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C84B2F"/>
      <name val="Arial"/>
      <family val="0"/>
      <charset val="1"/>
    </font>
    <font>
      <sz val="9"/>
      <color rgb="FFC84B2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114"/>
        <bgColor rgb="FF000000"/>
      </patternFill>
    </fill>
    <fill>
      <patternFill patternType="solid">
        <fgColor rgb="FFC84B2F"/>
        <bgColor rgb="FFA32D2D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EAF3DE"/>
        <bgColor rgb="FFF1EFE8"/>
      </patternFill>
    </fill>
    <fill>
      <patternFill patternType="solid">
        <fgColor rgb="FFEEEDFE"/>
        <bgColor rgb="FFF0EDFB"/>
      </patternFill>
    </fill>
    <fill>
      <patternFill patternType="solid">
        <fgColor rgb="FFE6F1FB"/>
        <bgColor rgb="FFE8F4F1"/>
      </patternFill>
    </fill>
    <fill>
      <patternFill patternType="solid">
        <fgColor rgb="FFF1EFE8"/>
        <bgColor rgb="FFEDE9E2"/>
      </patternFill>
    </fill>
    <fill>
      <patternFill patternType="solid">
        <fgColor rgb="FFFFFFFF"/>
        <bgColor rgb="FFF7F4EF"/>
      </patternFill>
    </fill>
    <fill>
      <patternFill patternType="solid">
        <fgColor rgb="FFE8F4F1"/>
        <bgColor rgb="FFE6F1FB"/>
      </patternFill>
    </fill>
    <fill>
      <patternFill patternType="solid">
        <fgColor rgb="FFF0EDFB"/>
        <bgColor rgb="FFEEEDFE"/>
      </patternFill>
    </fill>
    <fill>
      <patternFill patternType="solid">
        <fgColor rgb="FF1A6B5A"/>
        <bgColor rgb="FF008080"/>
      </patternFill>
    </fill>
    <fill>
      <patternFill patternType="solid">
        <fgColor rgb="FFF7F4EF"/>
        <bgColor rgb="FFF1EFE8"/>
      </patternFill>
    </fill>
    <fill>
      <patternFill patternType="solid">
        <fgColor rgb="FFEDE9E2"/>
        <bgColor rgb="FFF1EFE8"/>
      </patternFill>
    </fill>
    <fill>
      <patternFill patternType="solid">
        <fgColor rgb="FFB8860B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C84B2F"/>
      </bottom>
      <diagonal/>
    </border>
    <border diagonalUp="false" diagonalDown="false">
      <left/>
      <right style="thin">
        <color rgb="FFD4CFC6"/>
      </right>
      <top/>
      <bottom style="thin">
        <color rgb="FFD4CFC6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D4C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1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A6B5A"/>
      <rgbColor rgb="FFD4CFC6"/>
      <rgbColor rgb="FF888888"/>
      <rgbColor rgb="FF9999FF"/>
      <rgbColor rgb="FFC84B2F"/>
      <rgbColor rgb="FFFAEEDA"/>
      <rgbColor rgb="FFE6F1FB"/>
      <rgbColor rgb="FF660066"/>
      <rgbColor rgb="FFFF8080"/>
      <rgbColor rgb="FF0066CC"/>
      <rgbColor rgb="FFEDE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1"/>
      <rgbColor rgb="FFEAF3DE"/>
      <rgbColor rgb="FFF1EFE8"/>
      <rgbColor rgb="FFEEEDFE"/>
      <rgbColor rgb="FFF0EDFB"/>
      <rgbColor rgb="FFF7F4EF"/>
      <rgbColor rgb="FFFCEBEB"/>
      <rgbColor rgb="FF3366FF"/>
      <rgbColor rgb="FF33CCCC"/>
      <rgbColor rgb="FF99CC00"/>
      <rgbColor rgb="FFFFCC00"/>
      <rgbColor rgb="FFFF9900"/>
      <rgbColor rgb="FFFF6600"/>
      <rgbColor rgb="FF534AB7"/>
      <rgbColor rgb="FFAAAAAA"/>
      <rgbColor rgb="FF003366"/>
      <rgbColor rgb="FF339966"/>
      <rgbColor rgb="FF0F1114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4B2F"/>
    <pageSetUpPr fitToPage="false"/>
  </sheetPr>
  <dimension ref="A1:S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7" min="6" style="1" width="16"/>
    <col collapsed="false" customWidth="true" hidden="false" outlineLevel="0" max="12" min="8" style="1" width="14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6" min="15" style="1" width="16"/>
    <col collapsed="false" customWidth="true" hidden="false" outlineLevel="0" max="17" min="17" style="1" width="20"/>
    <col collapsed="false" customWidth="true" hidden="false" outlineLevel="0" max="18" min="18" style="1" width="16"/>
    <col collapsed="false" customWidth="true" hidden="false" outlineLevel="0" max="19" min="19" style="1" width="3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customFormat="false" ht="36" hidden="false" customHeight="true" outlineLevel="0" collapsed="false">
      <c r="A4" s="5" t="n">
        <v>1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7" t="n">
        <v>850000</v>
      </c>
      <c r="H4" s="6" t="s">
        <v>26</v>
      </c>
      <c r="I4" s="6" t="s">
        <v>27</v>
      </c>
      <c r="J4" s="8" t="n">
        <v>-346</v>
      </c>
      <c r="K4" s="7" t="n">
        <v>17000</v>
      </c>
      <c r="L4" s="9" t="s">
        <v>28</v>
      </c>
      <c r="M4" s="6" t="s">
        <v>29</v>
      </c>
      <c r="N4" s="10" t="s">
        <v>30</v>
      </c>
      <c r="O4" s="6" t="s">
        <v>31</v>
      </c>
      <c r="P4" s="6" t="s">
        <v>32</v>
      </c>
      <c r="Q4" s="6"/>
      <c r="R4" s="6"/>
      <c r="S4" s="6" t="s">
        <v>33</v>
      </c>
    </row>
    <row r="5" customFormat="false" ht="36" hidden="false" customHeight="true" outlineLevel="0" collapsed="false">
      <c r="A5" s="11" t="n">
        <v>2</v>
      </c>
      <c r="B5" s="12" t="s">
        <v>34</v>
      </c>
      <c r="C5" s="12" t="s">
        <v>35</v>
      </c>
      <c r="D5" s="12" t="s">
        <v>36</v>
      </c>
      <c r="E5" s="12" t="s">
        <v>37</v>
      </c>
      <c r="F5" s="12" t="s">
        <v>38</v>
      </c>
      <c r="G5" s="13" t="n">
        <v>320000</v>
      </c>
      <c r="H5" s="12" t="s">
        <v>39</v>
      </c>
      <c r="I5" s="12" t="s">
        <v>40</v>
      </c>
      <c r="J5" s="8" t="n">
        <v>-350</v>
      </c>
      <c r="K5" s="13" t="n">
        <v>6400</v>
      </c>
      <c r="L5" s="9" t="s">
        <v>28</v>
      </c>
      <c r="M5" s="12" t="s">
        <v>41</v>
      </c>
      <c r="N5" s="14" t="s">
        <v>42</v>
      </c>
      <c r="O5" s="12" t="s">
        <v>31</v>
      </c>
      <c r="P5" s="12" t="s">
        <v>43</v>
      </c>
      <c r="Q5" s="12" t="s">
        <v>44</v>
      </c>
      <c r="R5" s="12" t="s">
        <v>45</v>
      </c>
      <c r="S5" s="12" t="s">
        <v>46</v>
      </c>
    </row>
    <row r="6" customFormat="false" ht="36" hidden="false" customHeight="true" outlineLevel="0" collapsed="false">
      <c r="A6" s="15" t="n">
        <v>3</v>
      </c>
      <c r="B6" s="16" t="s">
        <v>47</v>
      </c>
      <c r="C6" s="16" t="s">
        <v>48</v>
      </c>
      <c r="D6" s="16" t="s">
        <v>49</v>
      </c>
      <c r="E6" s="16" t="s">
        <v>50</v>
      </c>
      <c r="F6" s="16" t="s">
        <v>51</v>
      </c>
      <c r="G6" s="17" t="n">
        <v>2200000</v>
      </c>
      <c r="H6" s="16" t="s">
        <v>52</v>
      </c>
      <c r="I6" s="16" t="s">
        <v>53</v>
      </c>
      <c r="J6" s="8" t="n">
        <v>-358</v>
      </c>
      <c r="K6" s="17" t="n">
        <v>44000</v>
      </c>
      <c r="L6" s="9" t="s">
        <v>28</v>
      </c>
      <c r="M6" s="16" t="s">
        <v>54</v>
      </c>
      <c r="N6" s="9" t="s">
        <v>55</v>
      </c>
      <c r="O6" s="16" t="s">
        <v>31</v>
      </c>
      <c r="P6" s="16" t="s">
        <v>56</v>
      </c>
      <c r="Q6" s="16" t="s">
        <v>57</v>
      </c>
      <c r="R6" s="18" t="s">
        <v>55</v>
      </c>
      <c r="S6" s="16" t="s">
        <v>58</v>
      </c>
    </row>
    <row r="7" customFormat="false" ht="36" hidden="false" customHeight="true" outlineLevel="0" collapsed="false">
      <c r="A7" s="19" t="n">
        <v>4</v>
      </c>
      <c r="B7" s="20" t="s">
        <v>59</v>
      </c>
      <c r="C7" s="20" t="s">
        <v>22</v>
      </c>
      <c r="D7" s="20" t="s">
        <v>60</v>
      </c>
      <c r="E7" s="20" t="s">
        <v>61</v>
      </c>
      <c r="F7" s="20" t="s">
        <v>62</v>
      </c>
      <c r="G7" s="21" t="n">
        <v>180000</v>
      </c>
      <c r="H7" s="20" t="s">
        <v>53</v>
      </c>
      <c r="I7" s="20" t="s">
        <v>63</v>
      </c>
      <c r="J7" s="8" t="n">
        <v>-343</v>
      </c>
      <c r="K7" s="21" t="n">
        <v>3600</v>
      </c>
      <c r="L7" s="9" t="s">
        <v>28</v>
      </c>
      <c r="M7" s="20" t="s">
        <v>41</v>
      </c>
      <c r="N7" s="22" t="s">
        <v>64</v>
      </c>
      <c r="O7" s="20" t="s">
        <v>31</v>
      </c>
      <c r="P7" s="20" t="s">
        <v>65</v>
      </c>
      <c r="Q7" s="20"/>
      <c r="R7" s="20"/>
      <c r="S7" s="20" t="s">
        <v>66</v>
      </c>
    </row>
    <row r="8" customFormat="false" ht="36" hidden="false" customHeight="true" outlineLevel="0" collapsed="false">
      <c r="A8" s="23" t="n">
        <v>5</v>
      </c>
      <c r="B8" s="24" t="s">
        <v>67</v>
      </c>
      <c r="C8" s="24" t="s">
        <v>35</v>
      </c>
      <c r="D8" s="24" t="s">
        <v>68</v>
      </c>
      <c r="E8" s="24" t="s">
        <v>69</v>
      </c>
      <c r="F8" s="24" t="s">
        <v>70</v>
      </c>
      <c r="G8" s="25" t="n">
        <v>95000</v>
      </c>
      <c r="H8" s="24" t="s">
        <v>44</v>
      </c>
      <c r="I8" s="24" t="s">
        <v>71</v>
      </c>
      <c r="J8" s="8" t="n">
        <v>-348</v>
      </c>
      <c r="K8" s="25" t="n">
        <v>1900</v>
      </c>
      <c r="L8" s="10" t="s">
        <v>72</v>
      </c>
      <c r="M8" s="24" t="s">
        <v>73</v>
      </c>
      <c r="N8" s="26" t="s">
        <v>74</v>
      </c>
      <c r="O8" s="24" t="s">
        <v>75</v>
      </c>
      <c r="P8" s="24"/>
      <c r="Q8" s="24"/>
      <c r="R8" s="24"/>
      <c r="S8" s="24" t="s">
        <v>76</v>
      </c>
    </row>
    <row r="9" customFormat="false" ht="36" hidden="false" customHeight="true" outlineLevel="0" collapsed="false">
      <c r="A9" s="5" t="n">
        <v>6</v>
      </c>
      <c r="B9" s="6" t="s">
        <v>77</v>
      </c>
      <c r="C9" s="6" t="s">
        <v>48</v>
      </c>
      <c r="D9" s="6" t="s">
        <v>78</v>
      </c>
      <c r="E9" s="6" t="s">
        <v>79</v>
      </c>
      <c r="F9" s="6" t="s">
        <v>38</v>
      </c>
      <c r="G9" s="7" t="n">
        <v>4500000</v>
      </c>
      <c r="H9" s="6" t="s">
        <v>80</v>
      </c>
      <c r="I9" s="6" t="s">
        <v>81</v>
      </c>
      <c r="J9" s="8" t="n">
        <v>-333</v>
      </c>
      <c r="K9" s="7" t="n">
        <v>90000</v>
      </c>
      <c r="L9" s="9" t="s">
        <v>28</v>
      </c>
      <c r="M9" s="6" t="s">
        <v>54</v>
      </c>
      <c r="N9" s="10" t="s">
        <v>30</v>
      </c>
      <c r="O9" s="6" t="s">
        <v>31</v>
      </c>
      <c r="P9" s="6" t="s">
        <v>82</v>
      </c>
      <c r="Q9" s="6"/>
      <c r="R9" s="6"/>
      <c r="S9" s="6" t="s">
        <v>83</v>
      </c>
    </row>
    <row r="10" customFormat="false" ht="31.5" hidden="false" customHeight="true" outlineLevel="0" collapsed="false">
      <c r="A10" s="27" t="n">
        <v>7</v>
      </c>
      <c r="B10" s="28"/>
      <c r="C10" s="28"/>
      <c r="D10" s="28"/>
      <c r="E10" s="28"/>
      <c r="F10" s="28"/>
      <c r="G10" s="28"/>
      <c r="H10" s="28"/>
      <c r="I10" s="28"/>
      <c r="J10" s="29"/>
      <c r="K10" s="28"/>
      <c r="L10" s="28"/>
      <c r="M10" s="28"/>
      <c r="N10" s="28"/>
      <c r="O10" s="28"/>
      <c r="P10" s="28"/>
      <c r="Q10" s="28"/>
      <c r="R10" s="28"/>
      <c r="S10" s="28"/>
    </row>
    <row r="11" customFormat="false" ht="31.5" hidden="false" customHeight="true" outlineLevel="0" collapsed="false">
      <c r="A11" s="27" t="n">
        <v>8</v>
      </c>
      <c r="B11" s="28"/>
      <c r="C11" s="28"/>
      <c r="D11" s="28"/>
      <c r="E11" s="28"/>
      <c r="F11" s="28"/>
      <c r="G11" s="28"/>
      <c r="H11" s="28"/>
      <c r="I11" s="28"/>
      <c r="J11" s="29"/>
      <c r="K11" s="28"/>
      <c r="L11" s="28"/>
      <c r="M11" s="28"/>
      <c r="N11" s="28"/>
      <c r="O11" s="28"/>
      <c r="P11" s="28"/>
      <c r="Q11" s="28"/>
      <c r="R11" s="28"/>
      <c r="S11" s="28"/>
    </row>
    <row r="12" customFormat="false" ht="31.5" hidden="false" customHeight="true" outlineLevel="0" collapsed="false">
      <c r="A12" s="27" t="n">
        <v>9</v>
      </c>
      <c r="B12" s="28"/>
      <c r="C12" s="28"/>
      <c r="D12" s="28"/>
      <c r="E12" s="28"/>
      <c r="F12" s="28"/>
      <c r="G12" s="28"/>
      <c r="H12" s="28"/>
      <c r="I12" s="28"/>
      <c r="J12" s="29"/>
      <c r="K12" s="28"/>
      <c r="L12" s="28"/>
      <c r="M12" s="28"/>
      <c r="N12" s="28"/>
      <c r="O12" s="28"/>
      <c r="P12" s="28"/>
      <c r="Q12" s="28"/>
      <c r="R12" s="28"/>
      <c r="S12" s="28"/>
    </row>
    <row r="13" customFormat="false" ht="31.5" hidden="false" customHeight="true" outlineLevel="0" collapsed="false">
      <c r="A13" s="27" t="n">
        <v>10</v>
      </c>
      <c r="B13" s="28"/>
      <c r="C13" s="28"/>
      <c r="D13" s="28"/>
      <c r="E13" s="28"/>
      <c r="F13" s="28"/>
      <c r="G13" s="28"/>
      <c r="H13" s="28"/>
      <c r="I13" s="28"/>
      <c r="J13" s="29"/>
      <c r="K13" s="28"/>
      <c r="L13" s="28"/>
      <c r="M13" s="28"/>
      <c r="N13" s="28"/>
      <c r="O13" s="28"/>
      <c r="P13" s="28"/>
      <c r="Q13" s="28"/>
      <c r="R13" s="28"/>
      <c r="S13" s="28"/>
    </row>
    <row r="14" customFormat="false" ht="31.5" hidden="false" customHeight="true" outlineLevel="0" collapsed="false">
      <c r="A14" s="27" t="n">
        <v>11</v>
      </c>
      <c r="B14" s="28"/>
      <c r="C14" s="28"/>
      <c r="D14" s="28"/>
      <c r="E14" s="28"/>
      <c r="F14" s="28"/>
      <c r="G14" s="28"/>
      <c r="H14" s="28"/>
      <c r="I14" s="28"/>
      <c r="J14" s="29"/>
      <c r="K14" s="28"/>
      <c r="L14" s="28"/>
      <c r="M14" s="28"/>
      <c r="N14" s="28"/>
      <c r="O14" s="28"/>
      <c r="P14" s="28"/>
      <c r="Q14" s="28"/>
      <c r="R14" s="28"/>
      <c r="S14" s="28"/>
    </row>
    <row r="15" customFormat="false" ht="31.5" hidden="false" customHeight="true" outlineLevel="0" collapsed="false">
      <c r="A15" s="27" t="n">
        <v>12</v>
      </c>
      <c r="B15" s="28"/>
      <c r="C15" s="28"/>
      <c r="D15" s="28"/>
      <c r="E15" s="28"/>
      <c r="F15" s="28"/>
      <c r="G15" s="28"/>
      <c r="H15" s="28"/>
      <c r="I15" s="28"/>
      <c r="J15" s="29"/>
      <c r="K15" s="28"/>
      <c r="L15" s="28"/>
      <c r="M15" s="28"/>
      <c r="N15" s="28"/>
      <c r="O15" s="28"/>
      <c r="P15" s="28"/>
      <c r="Q15" s="28"/>
      <c r="R15" s="28"/>
      <c r="S15" s="28"/>
    </row>
    <row r="16" customFormat="false" ht="31.5" hidden="false" customHeight="true" outlineLevel="0" collapsed="false">
      <c r="A16" s="27" t="n">
        <v>13</v>
      </c>
      <c r="B16" s="28"/>
      <c r="C16" s="28"/>
      <c r="D16" s="28"/>
      <c r="E16" s="28"/>
      <c r="F16" s="28"/>
      <c r="G16" s="28"/>
      <c r="H16" s="28"/>
      <c r="I16" s="28"/>
      <c r="J16" s="29"/>
      <c r="K16" s="28"/>
      <c r="L16" s="28"/>
      <c r="M16" s="28"/>
      <c r="N16" s="28"/>
      <c r="O16" s="28"/>
      <c r="P16" s="28"/>
      <c r="Q16" s="28"/>
      <c r="R16" s="28"/>
      <c r="S16" s="28"/>
    </row>
    <row r="17" customFormat="false" ht="31.5" hidden="false" customHeight="true" outlineLevel="0" collapsed="false">
      <c r="A17" s="27" t="n">
        <v>14</v>
      </c>
      <c r="B17" s="28"/>
      <c r="C17" s="28"/>
      <c r="D17" s="28"/>
      <c r="E17" s="28"/>
      <c r="F17" s="28"/>
      <c r="G17" s="28"/>
      <c r="H17" s="28"/>
      <c r="I17" s="28"/>
      <c r="J17" s="29"/>
      <c r="K17" s="28"/>
      <c r="L17" s="28"/>
      <c r="M17" s="28"/>
      <c r="N17" s="28"/>
      <c r="O17" s="28"/>
      <c r="P17" s="28"/>
      <c r="Q17" s="28"/>
      <c r="R17" s="28"/>
      <c r="S17" s="28"/>
    </row>
    <row r="18" customFormat="false" ht="31.5" hidden="false" customHeight="true" outlineLevel="0" collapsed="false">
      <c r="A18" s="27" t="n">
        <v>15</v>
      </c>
      <c r="B18" s="28"/>
      <c r="C18" s="28"/>
      <c r="D18" s="28"/>
      <c r="E18" s="28"/>
      <c r="F18" s="28"/>
      <c r="G18" s="28"/>
      <c r="H18" s="28"/>
      <c r="I18" s="28"/>
      <c r="J18" s="29"/>
      <c r="K18" s="28"/>
      <c r="L18" s="28"/>
      <c r="M18" s="28"/>
      <c r="N18" s="28"/>
      <c r="O18" s="28"/>
      <c r="P18" s="28"/>
      <c r="Q18" s="28"/>
      <c r="R18" s="28"/>
      <c r="S18" s="28"/>
    </row>
    <row r="19" customFormat="false" ht="31.5" hidden="false" customHeight="true" outlineLevel="0" collapsed="false">
      <c r="A19" s="27" t="n">
        <v>16</v>
      </c>
      <c r="B19" s="28"/>
      <c r="C19" s="28"/>
      <c r="D19" s="28"/>
      <c r="E19" s="28"/>
      <c r="F19" s="28"/>
      <c r="G19" s="28"/>
      <c r="H19" s="28"/>
      <c r="I19" s="28"/>
      <c r="J19" s="29"/>
      <c r="K19" s="28"/>
      <c r="L19" s="28"/>
      <c r="M19" s="28"/>
      <c r="N19" s="28"/>
      <c r="O19" s="28"/>
      <c r="P19" s="28"/>
      <c r="Q19" s="28"/>
      <c r="R19" s="28"/>
      <c r="S19" s="28"/>
    </row>
  </sheetData>
  <mergeCells count="2">
    <mergeCell ref="A1:S1"/>
    <mergeCell ref="A2:S2"/>
  </mergeCells>
  <dataValidations count="6">
    <dataValidation allowBlank="true" errorStyle="stop" operator="between" showDropDown="false" showErrorMessage="false" showInputMessage="false" sqref="C4:C500" type="list">
      <formula1>"GeM,KPPP,CPPP,Institution Website,Other"</formula1>
      <formula2>0</formula2>
    </dataValidation>
    <dataValidation allowBlank="true" errorStyle="stop" operator="between" showDropDown="false" showErrorMessage="false" showInputMessage="false" sqref="F4:F500" type="list">
      <formula1>"Classroom,Library,Cafeteria,Lab,Seminar,Office,Hostel,Mixed,Other"</formula1>
      <formula2>0</formula2>
    </dataValidation>
    <dataValidation allowBlank="true" errorStyle="stop" operator="between" showDropDown="false" showErrorMessage="false" showInputMessage="false" sqref="L4:L500" type="list">
      <formula1>"PASS,FAIL,REVIEW"</formula1>
      <formula2>0</formula2>
    </dataValidation>
    <dataValidation allowBlank="true" errorStyle="stop" operator="between" showDropDown="false" showErrorMessage="false" showInputMessage="false" sqref="M4:M500" type="list">
      <formula1>"P1 — Critical (&gt;₹50L),P2 — High (₹10-50L),P3 — Medium (₹2-10L),P4 — Low (&lt;₹2L)"</formula1>
      <formula2>0</formula2>
    </dataValidation>
    <dataValidation allowBlank="true" errorStyle="stop" operator="between" showDropDown="false" showErrorMessage="false" showInputMessage="false" sqref="N4:N500" type="list">
      <formula1>"New,Bid Prep,Submitted,Won,Lost,Skipped,Expired"</formula1>
      <formula2>0</formula2>
    </dataValidation>
    <dataValidation allowBlank="true" errorStyle="stop" operator="between" showDropDown="false" showErrorMessage="false" showInputMessage="false" sqref="R4:R500" type="list">
      <formula1>"Won,Lost — Price,Lost — Tech,Cancelled,Pending"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5A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31.5" hidden="false" customHeight="true" outlineLevel="0" collapsed="false">
      <c r="A1" s="30" t="s">
        <v>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customFormat="false" ht="18" hidden="false" customHeight="true" outlineLevel="0" collapsed="false">
      <c r="A2" s="3" t="str">
        <f aca="true">TEXT(TODAY(),"DD MMM YYYY")&amp;" — Live pipeline snapshot"</f>
        <v>03 Apr 2026 — Live pipeline snapshot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/>
    <row r="4" customFormat="false" ht="21.75" hidden="false" customHeight="true" outlineLevel="0" collapsed="false">
      <c r="A4" s="31"/>
      <c r="B4" s="31"/>
      <c r="C4" s="32"/>
      <c r="D4" s="32"/>
      <c r="E4" s="31"/>
      <c r="F4" s="31"/>
      <c r="G4" s="32"/>
      <c r="H4" s="32"/>
      <c r="I4" s="31"/>
      <c r="J4" s="31"/>
      <c r="K4" s="32"/>
      <c r="L4" s="32"/>
    </row>
    <row r="5" customFormat="false" ht="21.75" hidden="false" customHeight="true" outlineLevel="0" collapsed="false">
      <c r="A5" s="33" t="s">
        <v>85</v>
      </c>
      <c r="B5" s="33"/>
      <c r="C5" s="34" t="s">
        <v>86</v>
      </c>
      <c r="D5" s="34"/>
      <c r="E5" s="33" t="s">
        <v>55</v>
      </c>
      <c r="F5" s="33"/>
      <c r="G5" s="34" t="s">
        <v>87</v>
      </c>
      <c r="H5" s="34"/>
      <c r="I5" s="33" t="s">
        <v>88</v>
      </c>
      <c r="J5" s="33"/>
      <c r="K5" s="34" t="s">
        <v>89</v>
      </c>
      <c r="L5" s="34"/>
    </row>
    <row r="6" customFormat="false" ht="37.5" hidden="false" customHeight="true" outlineLevel="0" collapsed="false">
      <c r="A6" s="35" t="n">
        <f aca="false">COUNTA('Tender Register'!B4:B503)</f>
        <v>6</v>
      </c>
      <c r="B6" s="35"/>
      <c r="C6" s="36" t="n">
        <f aca="false">COUNTIF('Tender Register'!N4:N503,"Bid Prep")+COUNTIF('Tender Register'!N4:N503,"Submitted")</f>
        <v>3</v>
      </c>
      <c r="D6" s="36"/>
      <c r="E6" s="35" t="n">
        <f aca="false">COUNTIF('Tender Register'!R4:R503,"Won")</f>
        <v>1</v>
      </c>
      <c r="F6" s="35"/>
      <c r="G6" s="37" t="n">
        <f aca="false">SUMIF('Tender Register'!N4:N503,"Bid Prep",'Tender Register'!G4:G503)+SUMIF('Tender Register'!N4:N503,"Submitted",'Tender Register'!G4:G503)</f>
        <v>5670000</v>
      </c>
      <c r="H6" s="37"/>
      <c r="I6" s="35" t="n">
        <f aca="false">COUNTIFS('Tender Register'!J4:J503,"&lt;=7",'Tender Register'!J4:J503,"&gt;=0",'Tender Register'!N4:N503,"&lt;&gt;Won",'Tender Register'!N4:N503,"&lt;&gt;Lost",'Tender Register'!N4:N503,"&lt;&gt;Skipped")</f>
        <v>0</v>
      </c>
      <c r="J6" s="35"/>
      <c r="K6" s="38" t="n">
        <f aca="false">IFERROR(COUNTIF('Tender Register'!R4:R503,"Won")/(COUNTIF('Tender Register'!R4:R503,"Won")+COUNTIF('Tender Register'!R4:R503,"Lost — Price")+COUNTIF('Tender Register'!R4:R503,"Lost — Tech")),0)</f>
        <v>1</v>
      </c>
      <c r="L6" s="38"/>
    </row>
    <row r="7" customFormat="false" ht="21.75" hidden="false" customHeight="true" outlineLevel="0" collapsed="false">
      <c r="A7" s="31"/>
      <c r="B7" s="31"/>
      <c r="C7" s="32"/>
      <c r="D7" s="32"/>
      <c r="E7" s="31"/>
      <c r="F7" s="31"/>
      <c r="G7" s="32"/>
      <c r="H7" s="32"/>
      <c r="I7" s="31"/>
      <c r="J7" s="31"/>
      <c r="K7" s="32"/>
      <c r="L7" s="32"/>
    </row>
    <row r="8" customFormat="false" ht="21.75" hidden="false" customHeight="true" outlineLevel="0" collapsed="false">
      <c r="A8" s="31"/>
      <c r="B8" s="31"/>
      <c r="C8" s="32"/>
      <c r="D8" s="32"/>
      <c r="E8" s="31"/>
      <c r="F8" s="31"/>
      <c r="G8" s="32"/>
      <c r="H8" s="32"/>
      <c r="I8" s="31"/>
      <c r="J8" s="31"/>
      <c r="K8" s="32"/>
      <c r="L8" s="32"/>
    </row>
    <row r="9" customFormat="false" ht="21.75" hidden="false" customHeight="true" outlineLevel="0" collapsed="false"/>
    <row r="10" customFormat="false" ht="27.75" hidden="false" customHeight="true" outlineLevel="0" collapsed="false">
      <c r="A10" s="39" t="s">
        <v>90</v>
      </c>
      <c r="B10" s="39"/>
      <c r="C10" s="39"/>
      <c r="D10" s="39"/>
      <c r="E10" s="39"/>
      <c r="F10" s="39"/>
      <c r="H10" s="40" t="s">
        <v>91</v>
      </c>
      <c r="I10" s="40"/>
      <c r="J10" s="40"/>
      <c r="K10" s="40"/>
      <c r="L10" s="40"/>
    </row>
    <row r="11" customFormat="false" ht="21.75" hidden="false" customHeight="true" outlineLevel="0" collapsed="false">
      <c r="A11" s="41" t="s">
        <v>64</v>
      </c>
      <c r="B11" s="41"/>
      <c r="C11" s="41"/>
      <c r="D11" s="42" t="n">
        <f aca="false">COUNTIF('Tender Register'!N4:N503,"New")</f>
        <v>1</v>
      </c>
      <c r="E11" s="42"/>
      <c r="F11" s="42"/>
      <c r="H11" s="43" t="s">
        <v>92</v>
      </c>
      <c r="I11" s="43"/>
      <c r="J11" s="43"/>
      <c r="K11" s="44" t="n">
        <f aca="false">COUNTIF('Tender Register'!M4:M503,"P1 — Critical (&gt;₹50L)")</f>
        <v>2</v>
      </c>
      <c r="L11" s="44"/>
    </row>
    <row r="12" customFormat="false" ht="21.75" hidden="false" customHeight="true" outlineLevel="0" collapsed="false">
      <c r="A12" s="45" t="s">
        <v>30</v>
      </c>
      <c r="B12" s="45"/>
      <c r="C12" s="45"/>
      <c r="D12" s="46" t="n">
        <f aca="false">COUNTIF('Tender Register'!N4:N503,"Bid Prep")</f>
        <v>2</v>
      </c>
      <c r="E12" s="46"/>
      <c r="F12" s="46"/>
      <c r="H12" s="45" t="s">
        <v>93</v>
      </c>
      <c r="I12" s="45"/>
      <c r="J12" s="45"/>
      <c r="K12" s="46" t="n">
        <f aca="false">COUNTIF('Tender Register'!M4:M503,"P2 — High (₹10-50L)")</f>
        <v>1</v>
      </c>
      <c r="L12" s="46"/>
    </row>
    <row r="13" customFormat="false" ht="21.75" hidden="false" customHeight="true" outlineLevel="0" collapsed="false">
      <c r="A13" s="47" t="s">
        <v>42</v>
      </c>
      <c r="B13" s="47"/>
      <c r="C13" s="47"/>
      <c r="D13" s="48" t="n">
        <f aca="false">COUNTIF('Tender Register'!N4:N503,"Submitted")</f>
        <v>1</v>
      </c>
      <c r="E13" s="48"/>
      <c r="F13" s="48"/>
      <c r="H13" s="49" t="s">
        <v>94</v>
      </c>
      <c r="I13" s="49"/>
      <c r="J13" s="49"/>
      <c r="K13" s="50" t="n">
        <f aca="false">COUNTIF('Tender Register'!M4:M503,"P3 — Medium (₹2-10L)")</f>
        <v>2</v>
      </c>
      <c r="L13" s="50"/>
    </row>
    <row r="14" customFormat="false" ht="21.75" hidden="false" customHeight="true" outlineLevel="0" collapsed="false">
      <c r="A14" s="49" t="s">
        <v>55</v>
      </c>
      <c r="B14" s="49"/>
      <c r="C14" s="49"/>
      <c r="D14" s="50" t="n">
        <f aca="false">COUNTIF('Tender Register'!N4:N503,"Won")</f>
        <v>1</v>
      </c>
      <c r="E14" s="50"/>
      <c r="F14" s="50"/>
      <c r="H14" s="51" t="s">
        <v>95</v>
      </c>
      <c r="I14" s="51"/>
      <c r="J14" s="51"/>
      <c r="K14" s="52" t="n">
        <f aca="false">COUNTIF('Tender Register'!M4:M503,"P4 — Low (&lt;₹2L)")</f>
        <v>1</v>
      </c>
      <c r="L14" s="52"/>
    </row>
    <row r="15" customFormat="false" ht="21.75" hidden="false" customHeight="true" outlineLevel="0" collapsed="false">
      <c r="A15" s="43" t="s">
        <v>96</v>
      </c>
      <c r="B15" s="43"/>
      <c r="C15" s="43"/>
      <c r="D15" s="44" t="n">
        <f aca="false">COUNTIF('Tender Register'!N4:N503,"Lost")</f>
        <v>0</v>
      </c>
      <c r="E15" s="44"/>
      <c r="F15" s="44"/>
    </row>
    <row r="16" customFormat="false" ht="21.75" hidden="false" customHeight="true" outlineLevel="0" collapsed="false">
      <c r="A16" s="51" t="s">
        <v>74</v>
      </c>
      <c r="B16" s="51"/>
      <c r="C16" s="51"/>
      <c r="D16" s="52" t="n">
        <f aca="false">COUNTIF('Tender Register'!N4:N503,"Skipped")</f>
        <v>1</v>
      </c>
      <c r="E16" s="52"/>
      <c r="F16" s="52"/>
    </row>
    <row r="17" customFormat="false" ht="21.75" hidden="false" customHeight="true" outlineLevel="0" collapsed="false">
      <c r="A17" s="51" t="s">
        <v>97</v>
      </c>
      <c r="B17" s="51"/>
      <c r="C17" s="51"/>
      <c r="D17" s="52" t="n">
        <f aca="false">COUNTIF('Tender Register'!N4:N503,"Expired")</f>
        <v>0</v>
      </c>
      <c r="E17" s="52"/>
      <c r="F17" s="52"/>
    </row>
  </sheetData>
  <mergeCells count="56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F10"/>
    <mergeCell ref="H10:L10"/>
    <mergeCell ref="A11:C11"/>
    <mergeCell ref="D11:F11"/>
    <mergeCell ref="H11:J11"/>
    <mergeCell ref="K11:L11"/>
    <mergeCell ref="A12:C12"/>
    <mergeCell ref="D12:F12"/>
    <mergeCell ref="H12:J12"/>
    <mergeCell ref="K12:L12"/>
    <mergeCell ref="A13:C13"/>
    <mergeCell ref="D13:F13"/>
    <mergeCell ref="H13:J13"/>
    <mergeCell ref="K13:L13"/>
    <mergeCell ref="A14:C14"/>
    <mergeCell ref="D14:F14"/>
    <mergeCell ref="H14:J14"/>
    <mergeCell ref="K14:L14"/>
    <mergeCell ref="A15:C15"/>
    <mergeCell ref="D15:F15"/>
    <mergeCell ref="A16:C16"/>
    <mergeCell ref="D16:F16"/>
    <mergeCell ref="A17:C17"/>
    <mergeCell ref="D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12" min="3" style="1" width="14"/>
    <col collapsed="false" customWidth="true" hidden="false" outlineLevel="0" max="13" min="13" style="1" width="20"/>
  </cols>
  <sheetData>
    <row r="1" customFormat="false" ht="30" hidden="false" customHeight="true" outlineLevel="0" collapsed="false">
      <c r="A1" s="53" t="s">
        <v>98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customFormat="false" ht="18" hidden="false" customHeight="true" outlineLevel="0" collapsed="false">
      <c r="A2" s="54" t="s">
        <v>99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customFormat="false" ht="30" hidden="false" customHeight="true" outlineLevel="0" collapsed="false">
      <c r="A3" s="55" t="s">
        <v>3</v>
      </c>
      <c r="B3" s="55" t="s">
        <v>5</v>
      </c>
      <c r="C3" s="55" t="s">
        <v>10</v>
      </c>
      <c r="D3" s="55" t="s">
        <v>100</v>
      </c>
      <c r="E3" s="55" t="s">
        <v>101</v>
      </c>
      <c r="F3" s="55" t="s">
        <v>102</v>
      </c>
      <c r="G3" s="55" t="s">
        <v>103</v>
      </c>
      <c r="H3" s="55" t="s">
        <v>104</v>
      </c>
      <c r="I3" s="55" t="s">
        <v>105</v>
      </c>
      <c r="J3" s="55" t="s">
        <v>106</v>
      </c>
      <c r="K3" s="55" t="s">
        <v>107</v>
      </c>
      <c r="L3" s="55" t="s">
        <v>108</v>
      </c>
      <c r="M3" s="55" t="s">
        <v>109</v>
      </c>
    </row>
    <row r="4" customFormat="false" ht="30" hidden="false" customHeight="true" outlineLevel="0" collapsed="false">
      <c r="A4" s="56" t="s">
        <v>21</v>
      </c>
      <c r="B4" s="56" t="s">
        <v>110</v>
      </c>
      <c r="C4" s="56" t="s">
        <v>27</v>
      </c>
      <c r="D4" s="56" t="s">
        <v>111</v>
      </c>
      <c r="E4" s="56" t="s">
        <v>111</v>
      </c>
      <c r="F4" s="56" t="s">
        <v>111</v>
      </c>
      <c r="G4" s="56" t="s">
        <v>112</v>
      </c>
      <c r="H4" s="56" t="s">
        <v>111</v>
      </c>
      <c r="I4" s="56" t="s">
        <v>112</v>
      </c>
      <c r="J4" s="56" t="s">
        <v>113</v>
      </c>
      <c r="K4" s="56" t="s">
        <v>113</v>
      </c>
      <c r="L4" s="57" t="n">
        <f aca="false">COUNTIF(D4:K4,"✅ Done")/8</f>
        <v>0.5</v>
      </c>
    </row>
    <row r="5" customFormat="false" ht="30" hidden="false" customHeight="true" outlineLevel="0" collapsed="false">
      <c r="A5" s="58" t="s">
        <v>77</v>
      </c>
      <c r="B5" s="58" t="s">
        <v>114</v>
      </c>
      <c r="C5" s="58" t="s">
        <v>81</v>
      </c>
      <c r="D5" s="58" t="s">
        <v>111</v>
      </c>
      <c r="E5" s="58" t="s">
        <v>112</v>
      </c>
      <c r="F5" s="58" t="s">
        <v>111</v>
      </c>
      <c r="G5" s="58" t="s">
        <v>113</v>
      </c>
      <c r="H5" s="58" t="s">
        <v>111</v>
      </c>
      <c r="I5" s="58" t="s">
        <v>113</v>
      </c>
      <c r="J5" s="58" t="s">
        <v>113</v>
      </c>
      <c r="K5" s="58" t="s">
        <v>113</v>
      </c>
      <c r="L5" s="57" t="n">
        <f aca="false">COUNTIF(D5:K5,"✅ Done")/8</f>
        <v>0.375</v>
      </c>
    </row>
    <row r="6" customFormat="false" ht="27.75" hidden="false" customHeight="true" outlineLevel="0" collapsed="false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60" t="n">
        <f aca="false">IFERROR(COUNTIF(D6:K6,"✅ Done")/8,0)</f>
        <v>0</v>
      </c>
      <c r="M6" s="59"/>
    </row>
    <row r="7" customFormat="false" ht="27.75" hidden="false" customHeight="true" outlineLevel="0" collapsed="false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60" t="n">
        <f aca="false">IFERROR(COUNTIF(D7:K7,"✅ Done")/8,0)</f>
        <v>0</v>
      </c>
      <c r="M7" s="59"/>
    </row>
    <row r="8" customFormat="false" ht="27.75" hidden="false" customHeight="true" outlineLevel="0" collapsed="false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60" t="n">
        <f aca="false">IFERROR(COUNTIF(D8:K8,"✅ Done")/8,0)</f>
        <v>0</v>
      </c>
      <c r="M8" s="59"/>
    </row>
    <row r="9" customFormat="false" ht="27.75" hidden="false" customHeight="true" outlineLevel="0" collapsed="false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60" t="n">
        <f aca="false">IFERROR(COUNTIF(D9:K9,"✅ Done")/8,0)</f>
        <v>0</v>
      </c>
      <c r="M9" s="59"/>
    </row>
    <row r="10" customFormat="false" ht="27.75" hidden="false" customHeight="true" outlineLevel="0" collapsed="false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 t="n">
        <f aca="false">IFERROR(COUNTIF(D10:K10,"✅ Done")/8,0)</f>
        <v>0</v>
      </c>
      <c r="M10" s="59"/>
    </row>
    <row r="11" customFormat="false" ht="27.75" hidden="false" customHeight="true" outlineLevel="0" collapsed="false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 t="n">
        <f aca="false">IFERROR(COUNTIF(D11:K11,"✅ Done")/8,0)</f>
        <v>0</v>
      </c>
      <c r="M11" s="59"/>
    </row>
    <row r="12" customFormat="false" ht="27.75" hidden="false" customHeight="true" outlineLevel="0" collapsed="false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 t="n">
        <f aca="false">IFERROR(COUNTIF(D12:K12,"✅ Done")/8,0)</f>
        <v>0</v>
      </c>
      <c r="M12" s="59"/>
    </row>
    <row r="13" customFormat="false" ht="27.75" hidden="false" customHeight="true" outlineLevel="0" collapsed="false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 t="n">
        <f aca="false">IFERROR(COUNTIF(D13:K13,"✅ Done")/8,0)</f>
        <v>0</v>
      </c>
      <c r="M13" s="59"/>
    </row>
    <row r="14" customFormat="false" ht="27.75" hidden="false" customHeight="true" outlineLevel="0" collapsed="false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0" t="n">
        <f aca="false">IFERROR(COUNTIF(D14:K14,"✅ Done")/8,0)</f>
        <v>0</v>
      </c>
      <c r="M14" s="59"/>
    </row>
    <row r="15" customFormat="false" ht="27.75" hidden="false" customHeight="true" outlineLevel="0" collapsed="false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 t="n">
        <f aca="false">IFERROR(COUNTIF(D15:K15,"✅ Done")/8,0)</f>
        <v>0</v>
      </c>
      <c r="M15" s="59"/>
    </row>
  </sheetData>
  <mergeCells count="2">
    <mergeCell ref="A1:M1"/>
    <mergeCell ref="A2:M2"/>
  </mergeCells>
  <dataValidations count="1">
    <dataValidation allowBlank="true" errorStyle="stop" operator="between" showDropDown="false" showErrorMessage="false" showInputMessage="false" sqref="D4:K20" type="list">
      <formula1>"✅ Done,⏳ In Progress,❌ 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7" min="6" style="1" width="14"/>
    <col collapsed="false" customWidth="true" hidden="false" outlineLevel="0" max="9" min="8" style="1" width="16"/>
    <col collapsed="false" customWidth="true" hidden="false" outlineLevel="0" max="10" min="10" style="1" width="28"/>
  </cols>
  <sheetData>
    <row r="1" customFormat="false" ht="27.75" hidden="false" customHeight="true" outlineLevel="0" collapsed="false">
      <c r="A1" s="61" t="s">
        <v>115</v>
      </c>
      <c r="B1" s="61"/>
      <c r="C1" s="61"/>
      <c r="D1" s="61"/>
      <c r="E1" s="61"/>
      <c r="F1" s="61"/>
      <c r="G1" s="61"/>
      <c r="H1" s="61"/>
      <c r="I1" s="61"/>
      <c r="J1" s="61"/>
    </row>
    <row r="2" customFormat="false" ht="18" hidden="false" customHeight="true" outlineLevel="0" collapsed="false">
      <c r="A2" s="62" t="s">
        <v>116</v>
      </c>
      <c r="B2" s="62"/>
      <c r="C2" s="62"/>
      <c r="D2" s="62"/>
      <c r="E2" s="62"/>
      <c r="F2" s="62"/>
      <c r="G2" s="62"/>
      <c r="H2" s="62"/>
      <c r="I2" s="62"/>
      <c r="J2" s="62"/>
    </row>
    <row r="3" customFormat="false" ht="27.75" hidden="false" customHeight="true" outlineLevel="0" collapsed="false">
      <c r="A3" s="63" t="s">
        <v>3</v>
      </c>
      <c r="B3" s="63" t="s">
        <v>5</v>
      </c>
      <c r="C3" s="63" t="s">
        <v>117</v>
      </c>
      <c r="D3" s="63" t="s">
        <v>118</v>
      </c>
      <c r="E3" s="63" t="s">
        <v>119</v>
      </c>
      <c r="F3" s="63" t="s">
        <v>120</v>
      </c>
      <c r="G3" s="63" t="s">
        <v>19</v>
      </c>
      <c r="H3" s="63" t="s">
        <v>121</v>
      </c>
      <c r="I3" s="63" t="s">
        <v>122</v>
      </c>
      <c r="J3" s="63" t="s">
        <v>123</v>
      </c>
    </row>
    <row r="4" customFormat="false" ht="31.5" hidden="false" customHeight="true" outlineLevel="0" collapsed="false">
      <c r="A4" s="64" t="s">
        <v>34</v>
      </c>
      <c r="B4" s="64" t="s">
        <v>124</v>
      </c>
      <c r="C4" s="64" t="s">
        <v>125</v>
      </c>
      <c r="D4" s="65" t="n">
        <v>285000</v>
      </c>
      <c r="E4" s="65" t="n">
        <v>320000</v>
      </c>
      <c r="F4" s="66" t="n">
        <f aca="false">E4-D4</f>
        <v>35000</v>
      </c>
      <c r="G4" s="64" t="s">
        <v>126</v>
      </c>
      <c r="H4" s="64" t="s">
        <v>127</v>
      </c>
      <c r="I4" s="64" t="s">
        <v>128</v>
      </c>
      <c r="J4" s="64" t="s">
        <v>129</v>
      </c>
    </row>
    <row r="5" customFormat="false" ht="31.5" hidden="false" customHeight="true" outlineLevel="0" collapsed="false">
      <c r="A5" s="67" t="s">
        <v>21</v>
      </c>
      <c r="B5" s="67" t="s">
        <v>130</v>
      </c>
      <c r="C5" s="67" t="s">
        <v>131</v>
      </c>
      <c r="D5" s="68" t="n">
        <v>780000</v>
      </c>
      <c r="E5" s="68" t="n">
        <v>850000</v>
      </c>
      <c r="F5" s="69" t="n">
        <f aca="false">E5-D5</f>
        <v>70000</v>
      </c>
      <c r="G5" s="67" t="s">
        <v>45</v>
      </c>
      <c r="H5" s="67" t="s">
        <v>132</v>
      </c>
      <c r="I5" s="67" t="s">
        <v>133</v>
      </c>
      <c r="J5" s="67" t="s">
        <v>134</v>
      </c>
    </row>
    <row r="6" customFormat="false" ht="27.75" hidden="false" customHeight="true" outlineLevel="0" collapsed="false">
      <c r="A6" s="59"/>
      <c r="B6" s="59"/>
      <c r="C6" s="59"/>
      <c r="D6" s="59"/>
      <c r="E6" s="59"/>
      <c r="F6" s="70" t="n">
        <f aca="false">IFERROR(E6-D6,"")</f>
        <v>0</v>
      </c>
      <c r="G6" s="59"/>
      <c r="H6" s="59"/>
      <c r="I6" s="59"/>
      <c r="J6" s="59"/>
    </row>
    <row r="7" customFormat="false" ht="27.75" hidden="false" customHeight="true" outlineLevel="0" collapsed="false">
      <c r="A7" s="59"/>
      <c r="B7" s="59"/>
      <c r="C7" s="59"/>
      <c r="D7" s="59"/>
      <c r="E7" s="59"/>
      <c r="F7" s="70" t="n">
        <f aca="false">IFERROR(E7-D7,"")</f>
        <v>0</v>
      </c>
      <c r="G7" s="59"/>
      <c r="H7" s="59"/>
      <c r="I7" s="59"/>
      <c r="J7" s="59"/>
    </row>
    <row r="8" customFormat="false" ht="27.75" hidden="false" customHeight="true" outlineLevel="0" collapsed="false">
      <c r="A8" s="59"/>
      <c r="B8" s="59"/>
      <c r="C8" s="59"/>
      <c r="D8" s="59"/>
      <c r="E8" s="59"/>
      <c r="F8" s="70" t="n">
        <f aca="false">IFERROR(E8-D8,"")</f>
        <v>0</v>
      </c>
      <c r="G8" s="59"/>
      <c r="H8" s="59"/>
      <c r="I8" s="59"/>
      <c r="J8" s="59"/>
    </row>
    <row r="9" customFormat="false" ht="27.75" hidden="false" customHeight="true" outlineLevel="0" collapsed="false">
      <c r="A9" s="59"/>
      <c r="B9" s="59"/>
      <c r="C9" s="59"/>
      <c r="D9" s="59"/>
      <c r="E9" s="59"/>
      <c r="F9" s="70" t="n">
        <f aca="false">IFERROR(E9-D9,"")</f>
        <v>0</v>
      </c>
      <c r="G9" s="59"/>
      <c r="H9" s="59"/>
      <c r="I9" s="59"/>
      <c r="J9" s="59"/>
    </row>
    <row r="10" customFormat="false" ht="27.75" hidden="false" customHeight="true" outlineLevel="0" collapsed="false">
      <c r="A10" s="59"/>
      <c r="B10" s="59"/>
      <c r="C10" s="59"/>
      <c r="D10" s="59"/>
      <c r="E10" s="59"/>
      <c r="F10" s="70" t="n">
        <f aca="false">IFERROR(E10-D10,"")</f>
        <v>0</v>
      </c>
      <c r="G10" s="59"/>
      <c r="H10" s="59"/>
      <c r="I10" s="59"/>
      <c r="J10" s="59"/>
    </row>
    <row r="11" customFormat="false" ht="27.75" hidden="false" customHeight="true" outlineLevel="0" collapsed="false">
      <c r="A11" s="59"/>
      <c r="B11" s="59"/>
      <c r="C11" s="59"/>
      <c r="D11" s="59"/>
      <c r="E11" s="59"/>
      <c r="F11" s="70" t="n">
        <f aca="false">IFERROR(E11-D11,"")</f>
        <v>0</v>
      </c>
      <c r="G11" s="59"/>
      <c r="H11" s="59"/>
      <c r="I11" s="59"/>
      <c r="J11" s="59"/>
    </row>
    <row r="12" customFormat="false" ht="27.75" hidden="false" customHeight="true" outlineLevel="0" collapsed="false">
      <c r="A12" s="59"/>
      <c r="B12" s="59"/>
      <c r="C12" s="59"/>
      <c r="D12" s="59"/>
      <c r="E12" s="59"/>
      <c r="F12" s="70" t="n">
        <f aca="false">IFERROR(E12-D12,"")</f>
        <v>0</v>
      </c>
      <c r="G12" s="59"/>
      <c r="H12" s="59"/>
      <c r="I12" s="59"/>
      <c r="J12" s="59"/>
    </row>
    <row r="13" customFormat="false" ht="27.75" hidden="false" customHeight="true" outlineLevel="0" collapsed="false">
      <c r="A13" s="59"/>
      <c r="B13" s="59"/>
      <c r="C13" s="59"/>
      <c r="D13" s="59"/>
      <c r="E13" s="59"/>
      <c r="F13" s="70" t="n">
        <f aca="false">IFERROR(E13-D13,"")</f>
        <v>0</v>
      </c>
      <c r="G13" s="59"/>
      <c r="H13" s="59"/>
      <c r="I13" s="59"/>
      <c r="J13" s="59"/>
    </row>
    <row r="14" customFormat="false" ht="27.75" hidden="false" customHeight="true" outlineLevel="0" collapsed="false">
      <c r="A14" s="59"/>
      <c r="B14" s="59"/>
      <c r="C14" s="59"/>
      <c r="D14" s="59"/>
      <c r="E14" s="59"/>
      <c r="F14" s="70" t="n">
        <f aca="false">IFERROR(E14-D14,"")</f>
        <v>0</v>
      </c>
      <c r="G14" s="59"/>
      <c r="H14" s="59"/>
      <c r="I14" s="59"/>
      <c r="J14" s="59"/>
    </row>
    <row r="15" customFormat="false" ht="27.75" hidden="false" customHeight="true" outlineLevel="0" collapsed="false">
      <c r="A15" s="59"/>
      <c r="B15" s="59"/>
      <c r="C15" s="59"/>
      <c r="D15" s="59"/>
      <c r="E15" s="59"/>
      <c r="F15" s="70" t="n">
        <f aca="false">IFERROR(E15-D15,"")</f>
        <v>0</v>
      </c>
      <c r="G15" s="59"/>
      <c r="H15" s="59"/>
      <c r="I15" s="59"/>
      <c r="J15" s="59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114"/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</cols>
  <sheetData>
    <row r="1" customFormat="false" ht="30" hidden="false" customHeight="true" outlineLevel="0" collapsed="false">
      <c r="A1" s="71" t="s">
        <v>135</v>
      </c>
      <c r="B1" s="71"/>
    </row>
    <row r="2" customFormat="false" ht="24" hidden="false" customHeight="true" outlineLevel="0" collapsed="false">
      <c r="A2" s="72" t="s">
        <v>136</v>
      </c>
      <c r="B2" s="72"/>
    </row>
    <row r="3" customFormat="false" ht="18" hidden="false" customHeight="true" outlineLevel="0" collapsed="false">
      <c r="A3" s="73" t="s">
        <v>137</v>
      </c>
      <c r="B3" s="74" t="s">
        <v>138</v>
      </c>
    </row>
    <row r="4" customFormat="false" ht="18" hidden="false" customHeight="true" outlineLevel="0" collapsed="false">
      <c r="A4" s="73" t="s">
        <v>137</v>
      </c>
      <c r="B4" s="75" t="s">
        <v>139</v>
      </c>
    </row>
    <row r="5" customFormat="false" ht="18" hidden="false" customHeight="true" outlineLevel="0" collapsed="false">
      <c r="A5" s="73" t="s">
        <v>137</v>
      </c>
      <c r="B5" s="74" t="s">
        <v>140</v>
      </c>
    </row>
    <row r="6" customFormat="false" ht="18" hidden="false" customHeight="true" outlineLevel="0" collapsed="false">
      <c r="A6" s="73" t="s">
        <v>137</v>
      </c>
      <c r="B6" s="75" t="s">
        <v>141</v>
      </c>
    </row>
    <row r="7" customFormat="false" ht="18" hidden="false" customHeight="true" outlineLevel="0" collapsed="false">
      <c r="A7" s="73" t="s">
        <v>137</v>
      </c>
      <c r="B7" s="74" t="s">
        <v>142</v>
      </c>
    </row>
    <row r="8" customFormat="false" ht="18" hidden="false" customHeight="true" outlineLevel="0" collapsed="false">
      <c r="A8" s="73" t="s">
        <v>137</v>
      </c>
      <c r="B8" s="75" t="s">
        <v>143</v>
      </c>
    </row>
    <row r="9" customFormat="false" ht="19.5" hidden="false" customHeight="true" outlineLevel="0" collapsed="false"/>
    <row r="10" customFormat="false" ht="24" hidden="false" customHeight="true" outlineLevel="0" collapsed="false">
      <c r="A10" s="76" t="s">
        <v>144</v>
      </c>
      <c r="B10" s="76"/>
    </row>
    <row r="11" customFormat="false" ht="18" hidden="false" customHeight="true" outlineLevel="0" collapsed="false">
      <c r="A11" s="73" t="s">
        <v>137</v>
      </c>
      <c r="B11" s="74" t="s">
        <v>145</v>
      </c>
    </row>
    <row r="12" customFormat="false" ht="19.5" hidden="false" customHeight="true" outlineLevel="0" collapsed="false"/>
    <row r="13" customFormat="false" ht="24" hidden="false" customHeight="true" outlineLevel="0" collapsed="false">
      <c r="A13" s="76" t="s">
        <v>146</v>
      </c>
      <c r="B13" s="76"/>
    </row>
    <row r="14" customFormat="false" ht="18" hidden="false" customHeight="true" outlineLevel="0" collapsed="false">
      <c r="A14" s="73" t="s">
        <v>137</v>
      </c>
      <c r="B14" s="75" t="s">
        <v>147</v>
      </c>
    </row>
    <row r="15" customFormat="false" ht="18" hidden="false" customHeight="true" outlineLevel="0" collapsed="false">
      <c r="A15" s="73" t="s">
        <v>137</v>
      </c>
      <c r="B15" s="74" t="s">
        <v>148</v>
      </c>
    </row>
    <row r="16" customFormat="false" ht="19.5" hidden="false" customHeight="true" outlineLevel="0" collapsed="false"/>
    <row r="17" customFormat="false" ht="24" hidden="false" customHeight="true" outlineLevel="0" collapsed="false">
      <c r="A17" s="77" t="s">
        <v>149</v>
      </c>
      <c r="B17" s="77"/>
    </row>
    <row r="18" customFormat="false" ht="18" hidden="false" customHeight="true" outlineLevel="0" collapsed="false">
      <c r="A18" s="73" t="s">
        <v>137</v>
      </c>
      <c r="B18" s="75" t="s">
        <v>150</v>
      </c>
    </row>
    <row r="19" customFormat="false" ht="19.5" hidden="false" customHeight="true" outlineLevel="0" collapsed="false"/>
    <row r="20" customFormat="false" ht="24" hidden="false" customHeight="true" outlineLevel="0" collapsed="false">
      <c r="A20" s="72" t="s">
        <v>151</v>
      </c>
      <c r="B20" s="72"/>
    </row>
    <row r="21" customFormat="false" ht="18" hidden="false" customHeight="true" outlineLevel="0" collapsed="false">
      <c r="A21" s="73" t="s">
        <v>137</v>
      </c>
      <c r="B21" s="74" t="s">
        <v>152</v>
      </c>
    </row>
    <row r="22" customFormat="false" ht="18" hidden="false" customHeight="true" outlineLevel="0" collapsed="false">
      <c r="A22" s="73" t="s">
        <v>137</v>
      </c>
      <c r="B22" s="75" t="s">
        <v>153</v>
      </c>
    </row>
    <row r="23" customFormat="false" ht="18" hidden="false" customHeight="true" outlineLevel="0" collapsed="false">
      <c r="A23" s="73" t="s">
        <v>137</v>
      </c>
      <c r="B23" s="74" t="s">
        <v>154</v>
      </c>
    </row>
    <row r="24" customFormat="false" ht="18" hidden="false" customHeight="true" outlineLevel="0" collapsed="false">
      <c r="A24" s="73" t="s">
        <v>137</v>
      </c>
      <c r="B24" s="75" t="s">
        <v>155</v>
      </c>
    </row>
    <row r="25" customFormat="false" ht="18" hidden="false" customHeight="true" outlineLevel="0" collapsed="false">
      <c r="A25" s="73" t="s">
        <v>137</v>
      </c>
      <c r="B25" s="74" t="s">
        <v>156</v>
      </c>
    </row>
  </sheetData>
  <mergeCells count="6">
    <mergeCell ref="A1:B1"/>
    <mergeCell ref="A2:B2"/>
    <mergeCell ref="A10:B10"/>
    <mergeCell ref="A13:B13"/>
    <mergeCell ref="A17:B17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2026-04-03T09:30:01Z</dcterms:created>
  <dc:creator>openpyxl</dc:creator>
  <dc:description/>
  <dc:language>en-US</dc:language>
  <cp:lastModifiedBy/>
  <dcterms:modified xsi:type="dcterms:W3CDTF">2026-04-03T09:30:30Z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